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re\Downloads\"/>
    </mc:Choice>
  </mc:AlternateContent>
  <xr:revisionPtr revIDLastSave="0" documentId="13_ncr:1_{C9282754-7AE6-4F77-820C-FFDC25846A35}" xr6:coauthVersionLast="47" xr6:coauthVersionMax="47" xr10:uidLastSave="{00000000-0000-0000-0000-000000000000}"/>
  <bookViews>
    <workbookView xWindow="-104" yWindow="-104" windowWidth="20098" windowHeight="11914" activeTab="5" xr2:uid="{00000000-000D-0000-FFFF-FFFF00000000}"/>
  </bookViews>
  <sheets>
    <sheet name="France" sheetId="1" r:id="rId1"/>
    <sheet name="South Korean" sheetId="3" r:id="rId2"/>
    <sheet name="Japon" sheetId="4" r:id="rId3"/>
    <sheet name="UK" sheetId="5" r:id="rId4"/>
    <sheet name="Poland" sheetId="6" r:id="rId5"/>
    <sheet name="CI" sheetId="8" r:id="rId6"/>
    <sheet name="AL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B3" i="3"/>
  <c r="B4" i="3"/>
  <c r="B5" i="3"/>
  <c r="B6" i="3"/>
  <c r="B2" i="3"/>
</calcChain>
</file>

<file path=xl/sharedStrings.xml><?xml version="1.0" encoding="utf-8"?>
<sst xmlns="http://schemas.openxmlformats.org/spreadsheetml/2006/main" count="73" uniqueCount="30">
  <si>
    <t>Année</t>
  </si>
  <si>
    <t>Evolution_tarifs_(%)</t>
  </si>
  <si>
    <t>Ratio_combiné_Auto_(%)</t>
  </si>
  <si>
    <t>Ratio_Sinistres/Primes_RC_Auto_(%)</t>
  </si>
  <si>
    <t>Ratio_Sinistres/Primes_Auto_hors_RC_(%)</t>
  </si>
  <si>
    <t>Source</t>
  </si>
  <si>
    <t>Classification</t>
  </si>
  <si>
    <t>Loss Ratio</t>
  </si>
  <si>
    <t>Ratio Combiné</t>
  </si>
  <si>
    <t>MS&amp;AD Annual Report 2010</t>
  </si>
  <si>
    <t>Sompo Holdings 2015</t>
  </si>
  <si>
    <t>GIAJ 2019</t>
  </si>
  <si>
    <t>GIAJ 2020</t>
  </si>
  <si>
    <t>Korean_Insurance_Industry_2021.pdf</t>
  </si>
  <si>
    <t>Loss ratio</t>
  </si>
  <si>
    <t>A&amp;S n°64 – Mai 2016 Éléments d’analyse des cycles en assurance non-vie</t>
  </si>
  <si>
    <t>Year</t>
  </si>
  <si>
    <t>Net combined ratio (NCR)</t>
  </si>
  <si>
    <t>100+ UK Car Insurance Statistics 2024 - Uswitch</t>
  </si>
  <si>
    <t>Eaned Premium</t>
  </si>
  <si>
    <t>Incurred Loss</t>
  </si>
  <si>
    <t>Pays</t>
  </si>
  <si>
    <t>France</t>
  </si>
  <si>
    <t>Mean</t>
  </si>
  <si>
    <t>Loss Ratio (%)</t>
  </si>
  <si>
    <t>South Korea</t>
  </si>
  <si>
    <t>Japon</t>
  </si>
  <si>
    <t>S/P RC</t>
  </si>
  <si>
    <t>S/P Auto</t>
  </si>
  <si>
    <t>Loss_Ratio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</si>
</sst>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_-;\-* #,##0.0_-;_-* &quot;-&quot;_-;_-@_-"/>
    <numFmt numFmtId="165" formatCode="_-* #,##0.00_-;\-* #,##0.00_-;_-* &quot;-&quot;_-;_-@_-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2" applyFont="1"/>
    <xf numFmtId="164" fontId="0" fillId="0" borderId="0" xfId="1" applyNumberFormat="1" applyFont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4" fillId="0" borderId="0" xfId="3" applyAlignment="1">
      <alignment vertical="center" wrapText="1"/>
    </xf>
    <xf numFmtId="0" fontId="3" fillId="0" borderId="0" xfId="0" applyFont="1"/>
    <xf numFmtId="0" fontId="4" fillId="0" borderId="0" xfId="3"/>
    <xf numFmtId="0" fontId="5" fillId="0" borderId="2" xfId="0" applyFont="1" applyBorder="1" applyAlignment="1">
      <alignment horizontal="center" vertical="top"/>
    </xf>
    <xf numFmtId="165" fontId="0" fillId="0" borderId="0" xfId="1" applyNumberFormat="1" applyFon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166" fontId="0" fillId="0" borderId="0" xfId="2" applyNumberFormat="1" applyFont="1"/>
  </cellXfs>
  <cellStyles count="4">
    <cellStyle name="Lien hypertexte" xfId="3" builtinId="8"/>
    <cellStyle name="Milliers [0]" xfId="1" builtinId="6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cpr.banque-france.fr/system/files/import/acpr/medias/documents/201605-as64-elements-analyse-cycles-assurance-non-vie.pdf?utm_source=chatgpt.com" TargetMode="External"/><Relationship Id="rId1" Type="http://schemas.openxmlformats.org/officeDocument/2006/relationships/hyperlink" Target="https://acpr.banque-france.fr/system/files/import/acpr/medias/documents/201605-as64-elements-analyse-cycles-assurance-non-vie.pdf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iri.or.kr/eng/pdf/Korean_Insurance_Industry_2021.pdf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npo.or.jp/en/news/2020/ue089i0000002esw-att/fb2020e.pdf" TargetMode="External"/><Relationship Id="rId2" Type="http://schemas.openxmlformats.org/officeDocument/2006/relationships/hyperlink" Target="https://www.sompo-hd.com/-/media/hd/en/files/doc/pdf/e_ir/2016/e_ir_20160520.pdf" TargetMode="External"/><Relationship Id="rId1" Type="http://schemas.openxmlformats.org/officeDocument/2006/relationships/hyperlink" Target="https://www.ms-ad-hd.com/en/ir/library/disclosure/main/04/teaserItems1/0/linkList/04/link/2010_msad_01.pdf" TargetMode="External"/><Relationship Id="rId4" Type="http://schemas.openxmlformats.org/officeDocument/2006/relationships/hyperlink" Target="https://www.sonpo.or.jp/en/news/2020/ue089i0000002esw-att/fb2020e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witch.com/car-insurance/car-insurance-statistics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C22" sqref="C22"/>
    </sheetView>
  </sheetViews>
  <sheetFormatPr baseColWidth="10" defaultColWidth="8.7265625" defaultRowHeight="14.5" x14ac:dyDescent="0.35"/>
  <cols>
    <col min="2" max="2" width="16.7265625" bestFit="1" customWidth="1"/>
    <col min="3" max="3" width="21.08984375" bestFit="1" customWidth="1"/>
    <col min="4" max="4" width="30.08984375" bestFit="1" customWidth="1"/>
    <col min="5" max="5" width="34.453125" bestFit="1" customWidth="1"/>
    <col min="6" max="6" width="34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23</v>
      </c>
      <c r="G1" s="9" t="s">
        <v>5</v>
      </c>
    </row>
    <row r="2" spans="1:7" x14ac:dyDescent="0.35">
      <c r="A2">
        <v>2000</v>
      </c>
      <c r="B2" s="3">
        <v>2.5</v>
      </c>
      <c r="C2">
        <v>107</v>
      </c>
      <c r="D2">
        <v>100</v>
      </c>
      <c r="E2">
        <v>76</v>
      </c>
      <c r="F2">
        <f>AVERAGE(D2:E2)</f>
        <v>88</v>
      </c>
      <c r="G2" s="8" t="s">
        <v>15</v>
      </c>
    </row>
    <row r="3" spans="1:7" x14ac:dyDescent="0.35">
      <c r="A3">
        <v>2001</v>
      </c>
      <c r="B3" s="3">
        <v>3</v>
      </c>
      <c r="C3">
        <v>110</v>
      </c>
      <c r="D3">
        <v>102</v>
      </c>
      <c r="E3">
        <v>78</v>
      </c>
      <c r="F3">
        <f t="shared" ref="F3:F16" si="0">AVERAGE(D3:E3)</f>
        <v>90</v>
      </c>
      <c r="G3" s="8" t="s">
        <v>15</v>
      </c>
    </row>
    <row r="4" spans="1:7" x14ac:dyDescent="0.35">
      <c r="A4">
        <v>2002</v>
      </c>
      <c r="B4" s="3">
        <v>3.5</v>
      </c>
      <c r="C4">
        <v>115</v>
      </c>
      <c r="D4">
        <v>103</v>
      </c>
      <c r="E4">
        <v>80</v>
      </c>
      <c r="F4">
        <f t="shared" si="0"/>
        <v>91.5</v>
      </c>
      <c r="G4" s="8" t="s">
        <v>15</v>
      </c>
    </row>
    <row r="5" spans="1:7" x14ac:dyDescent="0.35">
      <c r="A5">
        <v>2003</v>
      </c>
      <c r="B5" s="3">
        <v>2</v>
      </c>
      <c r="C5">
        <v>135</v>
      </c>
      <c r="D5">
        <v>104</v>
      </c>
      <c r="E5">
        <v>82</v>
      </c>
      <c r="F5">
        <f t="shared" si="0"/>
        <v>93</v>
      </c>
      <c r="G5" s="8" t="s">
        <v>15</v>
      </c>
    </row>
    <row r="6" spans="1:7" x14ac:dyDescent="0.35">
      <c r="A6">
        <v>2004</v>
      </c>
      <c r="B6" s="3">
        <v>-0.5</v>
      </c>
      <c r="C6">
        <v>120</v>
      </c>
      <c r="D6">
        <v>100</v>
      </c>
      <c r="E6">
        <v>83</v>
      </c>
      <c r="F6">
        <f t="shared" si="0"/>
        <v>91.5</v>
      </c>
      <c r="G6" s="8" t="s">
        <v>15</v>
      </c>
    </row>
    <row r="7" spans="1:7" x14ac:dyDescent="0.35">
      <c r="A7">
        <v>2005</v>
      </c>
      <c r="B7" s="3">
        <v>-1</v>
      </c>
      <c r="C7">
        <v>110</v>
      </c>
      <c r="D7">
        <v>98</v>
      </c>
      <c r="E7">
        <v>84</v>
      </c>
      <c r="F7">
        <f t="shared" si="0"/>
        <v>91</v>
      </c>
      <c r="G7" s="8" t="s">
        <v>15</v>
      </c>
    </row>
    <row r="8" spans="1:7" x14ac:dyDescent="0.35">
      <c r="A8">
        <v>2006</v>
      </c>
      <c r="B8" s="3">
        <v>-2.5</v>
      </c>
      <c r="C8">
        <v>105</v>
      </c>
      <c r="D8">
        <v>97</v>
      </c>
      <c r="E8">
        <v>85</v>
      </c>
      <c r="F8">
        <f t="shared" si="0"/>
        <v>91</v>
      </c>
      <c r="G8" s="8" t="s">
        <v>15</v>
      </c>
    </row>
    <row r="9" spans="1:7" x14ac:dyDescent="0.35">
      <c r="A9">
        <v>2007</v>
      </c>
      <c r="B9" s="3">
        <v>-3</v>
      </c>
      <c r="C9">
        <v>103</v>
      </c>
      <c r="D9">
        <v>98</v>
      </c>
      <c r="E9">
        <v>86</v>
      </c>
      <c r="F9">
        <f t="shared" si="0"/>
        <v>92</v>
      </c>
      <c r="G9" s="8" t="s">
        <v>15</v>
      </c>
    </row>
    <row r="10" spans="1:7" x14ac:dyDescent="0.35">
      <c r="A10">
        <v>2008</v>
      </c>
      <c r="B10" s="3">
        <v>-2</v>
      </c>
      <c r="C10">
        <v>101</v>
      </c>
      <c r="D10">
        <v>99</v>
      </c>
      <c r="E10">
        <v>87</v>
      </c>
      <c r="F10">
        <f t="shared" si="0"/>
        <v>93</v>
      </c>
      <c r="G10" s="8" t="s">
        <v>15</v>
      </c>
    </row>
    <row r="11" spans="1:7" x14ac:dyDescent="0.35">
      <c r="A11">
        <v>2009</v>
      </c>
      <c r="B11" s="3">
        <v>-1.5</v>
      </c>
      <c r="C11">
        <v>100</v>
      </c>
      <c r="D11">
        <v>101</v>
      </c>
      <c r="E11">
        <v>88</v>
      </c>
      <c r="F11">
        <f t="shared" si="0"/>
        <v>94.5</v>
      </c>
      <c r="G11" s="8" t="s">
        <v>15</v>
      </c>
    </row>
    <row r="12" spans="1:7" x14ac:dyDescent="0.35">
      <c r="A12">
        <v>2010</v>
      </c>
      <c r="B12" s="3">
        <v>-0.5</v>
      </c>
      <c r="C12">
        <v>101</v>
      </c>
      <c r="D12">
        <v>102</v>
      </c>
      <c r="E12">
        <v>89</v>
      </c>
      <c r="F12">
        <f t="shared" si="0"/>
        <v>95.5</v>
      </c>
      <c r="G12" s="8" t="s">
        <v>15</v>
      </c>
    </row>
    <row r="13" spans="1:7" x14ac:dyDescent="0.35">
      <c r="A13">
        <v>2011</v>
      </c>
      <c r="B13" s="3">
        <v>0</v>
      </c>
      <c r="C13">
        <v>102</v>
      </c>
      <c r="D13">
        <v>103</v>
      </c>
      <c r="E13">
        <v>90</v>
      </c>
      <c r="F13">
        <f t="shared" si="0"/>
        <v>96.5</v>
      </c>
      <c r="G13" s="8" t="s">
        <v>15</v>
      </c>
    </row>
    <row r="14" spans="1:7" x14ac:dyDescent="0.35">
      <c r="A14">
        <v>2012</v>
      </c>
      <c r="B14" s="3">
        <v>1</v>
      </c>
      <c r="C14">
        <v>103</v>
      </c>
      <c r="D14">
        <v>104</v>
      </c>
      <c r="E14">
        <v>91</v>
      </c>
      <c r="F14">
        <f t="shared" si="0"/>
        <v>97.5</v>
      </c>
      <c r="G14" s="8" t="s">
        <v>15</v>
      </c>
    </row>
    <row r="15" spans="1:7" x14ac:dyDescent="0.35">
      <c r="A15">
        <v>2013</v>
      </c>
      <c r="B15" s="3">
        <v>1.5</v>
      </c>
      <c r="C15">
        <v>104</v>
      </c>
      <c r="D15">
        <v>105</v>
      </c>
      <c r="E15">
        <v>92</v>
      </c>
      <c r="F15">
        <f t="shared" si="0"/>
        <v>98.5</v>
      </c>
      <c r="G15" s="8" t="s">
        <v>15</v>
      </c>
    </row>
    <row r="16" spans="1:7" x14ac:dyDescent="0.35">
      <c r="A16">
        <v>2014</v>
      </c>
      <c r="B16" s="3">
        <v>-0.5</v>
      </c>
      <c r="C16">
        <v>101</v>
      </c>
      <c r="D16">
        <v>106</v>
      </c>
      <c r="E16">
        <v>93</v>
      </c>
      <c r="F16">
        <f t="shared" si="0"/>
        <v>99.5</v>
      </c>
      <c r="G16" s="8" t="s">
        <v>15</v>
      </c>
    </row>
  </sheetData>
  <hyperlinks>
    <hyperlink ref="G2" r:id="rId1" display="https://acpr.banque-france.fr/system/files/import/acpr/medias/documents/201605-as64-elements-analyse-cycles-assurance-non-vie.pdf?utm_source=chatgpt.com" xr:uid="{4B4B64A0-098A-4859-990A-FD612CBC0138}"/>
    <hyperlink ref="G3:G16" r:id="rId2" display="https://acpr.banque-france.fr/system/files/import/acpr/medias/documents/201605-as64-elements-analyse-cycles-assurance-non-vie.pdf?utm_source=chatgpt.com" xr:uid="{2F204BDC-38D2-4E3D-988F-CF599EC1CF6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7255-D411-40AD-80FD-AC4D3C1259C0}">
  <dimension ref="A1:E6"/>
  <sheetViews>
    <sheetView workbookViewId="0">
      <selection activeCell="D2" sqref="D2:D6"/>
    </sheetView>
  </sheetViews>
  <sheetFormatPr baseColWidth="10" defaultRowHeight="14.5" x14ac:dyDescent="0.35"/>
  <cols>
    <col min="2" max="2" width="13.26953125" bestFit="1" customWidth="1"/>
    <col min="3" max="3" width="11.1796875" bestFit="1" customWidth="1"/>
    <col min="4" max="4" width="9.81640625" customWidth="1"/>
  </cols>
  <sheetData>
    <row r="1" spans="1:5" x14ac:dyDescent="0.35">
      <c r="A1" s="7" t="s">
        <v>6</v>
      </c>
      <c r="B1" s="7" t="s">
        <v>19</v>
      </c>
      <c r="C1" s="7" t="s">
        <v>20</v>
      </c>
      <c r="D1" s="7" t="s">
        <v>14</v>
      </c>
      <c r="E1" s="7" t="s">
        <v>5</v>
      </c>
    </row>
    <row r="2" spans="1:5" x14ac:dyDescent="0.35">
      <c r="A2">
        <v>2016</v>
      </c>
      <c r="B2" s="10">
        <f>C2/D2</f>
        <v>14.886746987951808</v>
      </c>
      <c r="C2" s="11">
        <v>12.356</v>
      </c>
      <c r="D2" s="2">
        <v>0.83</v>
      </c>
      <c r="E2" s="8" t="s">
        <v>13</v>
      </c>
    </row>
    <row r="3" spans="1:5" x14ac:dyDescent="0.35">
      <c r="A3">
        <v>2017</v>
      </c>
      <c r="B3" s="10">
        <f t="shared" ref="B3:B6" si="0">C3/D3</f>
        <v>15.650185414091469</v>
      </c>
      <c r="C3" s="10">
        <v>12.661</v>
      </c>
      <c r="D3" s="2">
        <v>0.80900000000000005</v>
      </c>
      <c r="E3" s="8" t="s">
        <v>13</v>
      </c>
    </row>
    <row r="4" spans="1:5" x14ac:dyDescent="0.35">
      <c r="A4">
        <v>2018</v>
      </c>
      <c r="B4" s="10">
        <f t="shared" si="0"/>
        <v>15.677083333333332</v>
      </c>
      <c r="C4" s="11">
        <v>13.545</v>
      </c>
      <c r="D4" s="2">
        <v>0.8640000000000001</v>
      </c>
      <c r="E4" s="8" t="s">
        <v>13</v>
      </c>
    </row>
    <row r="5" spans="1:5" x14ac:dyDescent="0.35">
      <c r="A5">
        <v>2019</v>
      </c>
      <c r="B5" s="10">
        <f t="shared" si="0"/>
        <v>15.915948275862069</v>
      </c>
      <c r="C5" s="11">
        <v>14.77</v>
      </c>
      <c r="D5" s="2">
        <v>0.92799999999999994</v>
      </c>
      <c r="E5" s="8" t="s">
        <v>13</v>
      </c>
    </row>
    <row r="6" spans="1:5" x14ac:dyDescent="0.35">
      <c r="A6">
        <v>2020</v>
      </c>
      <c r="B6" s="10">
        <f t="shared" si="0"/>
        <v>17.351635514018692</v>
      </c>
      <c r="C6" s="11">
        <v>14.853</v>
      </c>
      <c r="D6" s="2">
        <v>0.85599999999999998</v>
      </c>
      <c r="E6" s="8" t="s">
        <v>13</v>
      </c>
    </row>
  </sheetData>
  <hyperlinks>
    <hyperlink ref="E2:E6" r:id="rId1" display="https://kiri.or.kr/eng/pdf/Korean_Insurance_Industry_2021.pdf?utm_source=chatgpt.com" xr:uid="{6663011F-2150-463B-B28A-F3FAA0E7F2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1665-57BF-441D-ADD5-27708C97035C}">
  <dimension ref="A1:D5"/>
  <sheetViews>
    <sheetView workbookViewId="0">
      <selection activeCell="B2" sqref="B2:B5"/>
    </sheetView>
  </sheetViews>
  <sheetFormatPr baseColWidth="10" defaultRowHeight="14.5" x14ac:dyDescent="0.35"/>
  <cols>
    <col min="1" max="1" width="8" customWidth="1"/>
    <col min="2" max="2" width="12.1796875" customWidth="1"/>
    <col min="3" max="3" width="13.81640625" customWidth="1"/>
    <col min="4" max="4" width="23.08984375" bestFit="1" customWidth="1"/>
    <col min="5" max="5" width="38.6328125" customWidth="1"/>
  </cols>
  <sheetData>
    <row r="1" spans="1:4" x14ac:dyDescent="0.35">
      <c r="A1" s="7" t="s">
        <v>0</v>
      </c>
      <c r="B1" s="7" t="s">
        <v>7</v>
      </c>
      <c r="C1" s="7" t="s">
        <v>8</v>
      </c>
      <c r="D1" s="7" t="s">
        <v>5</v>
      </c>
    </row>
    <row r="2" spans="1:4" x14ac:dyDescent="0.35">
      <c r="A2" s="4">
        <v>2010</v>
      </c>
      <c r="B2" s="5">
        <v>0.73399999999999999</v>
      </c>
      <c r="C2" s="5">
        <v>1.024</v>
      </c>
      <c r="D2" s="6" t="s">
        <v>9</v>
      </c>
    </row>
    <row r="3" spans="1:4" x14ac:dyDescent="0.35">
      <c r="A3" s="4">
        <v>2015</v>
      </c>
      <c r="B3" s="5">
        <v>0.73399999999999999</v>
      </c>
      <c r="C3" s="5">
        <v>0.93400000000000005</v>
      </c>
      <c r="D3" s="6" t="s">
        <v>10</v>
      </c>
    </row>
    <row r="4" spans="1:4" x14ac:dyDescent="0.35">
      <c r="A4" s="4">
        <v>2019</v>
      </c>
      <c r="B4" s="5">
        <v>0.63900000000000001</v>
      </c>
      <c r="C4" s="4"/>
      <c r="D4" s="6" t="s">
        <v>11</v>
      </c>
    </row>
    <row r="5" spans="1:4" x14ac:dyDescent="0.35">
      <c r="A5" s="4">
        <v>2020</v>
      </c>
      <c r="B5" s="5">
        <v>0.63900000000000001</v>
      </c>
      <c r="C5" s="4"/>
      <c r="D5" s="6" t="s">
        <v>12</v>
      </c>
    </row>
  </sheetData>
  <hyperlinks>
    <hyperlink ref="D2" r:id="rId1" display="https://www.ms-ad-hd.com/en/ir/library/disclosure/main/04/teaserItems1/0/linkList/04/link/2010_msad_01.pdf" xr:uid="{15F322CA-8158-449F-97E8-02527EE4D3FF}"/>
    <hyperlink ref="D3" r:id="rId2" display="https://www.sompo-hd.com/-/media/hd/en/files/doc/pdf/e_ir/2016/e_ir_20160520.pdf" xr:uid="{B545653B-56CE-4CFB-BAAC-9D0A5E5EE610}"/>
    <hyperlink ref="D4" r:id="rId3" display="https://www.sonpo.or.jp/en/news/2020/ue089i0000002esw-att/fb2020e.pdf" xr:uid="{803E7B12-A032-469D-8C9B-74A9230AC819}"/>
    <hyperlink ref="D5" r:id="rId4" display="https://www.sonpo.or.jp/en/news/2020/ue089i0000002esw-att/fb2020e.pdf" xr:uid="{3AB2DB29-0637-4C78-BB74-F7C1A8FB0FE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E260-CE31-49E6-A289-B1BEF15319C5}">
  <dimension ref="A1:C2"/>
  <sheetViews>
    <sheetView workbookViewId="0">
      <selection activeCell="C9" sqref="C9"/>
    </sheetView>
  </sheetViews>
  <sheetFormatPr baseColWidth="10" defaultRowHeight="14.5" x14ac:dyDescent="0.35"/>
  <cols>
    <col min="2" max="2" width="21.36328125" bestFit="1" customWidth="1"/>
  </cols>
  <sheetData>
    <row r="1" spans="1:3" x14ac:dyDescent="0.35">
      <c r="A1" s="7" t="s">
        <v>16</v>
      </c>
      <c r="B1" s="7" t="s">
        <v>17</v>
      </c>
    </row>
    <row r="2" spans="1:3" x14ac:dyDescent="0.35">
      <c r="A2" s="4">
        <v>2020</v>
      </c>
      <c r="B2" s="5">
        <v>0.90300000000000002</v>
      </c>
      <c r="C2" s="8" t="s">
        <v>18</v>
      </c>
    </row>
  </sheetData>
  <hyperlinks>
    <hyperlink ref="C2" r:id="rId1" display="https://www.uswitch.com/car-insurance/car-insurance-statistics/?utm_source=chatgpt.com" xr:uid="{3D4B0F59-12E3-47F2-8415-BE1AB6D55A7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520E-16FC-4581-90D7-AA474162B88F}">
  <dimension ref="A1"/>
  <sheetViews>
    <sheetView workbookViewId="0">
      <selection sqref="A1:B2"/>
    </sheetView>
  </sheetViews>
  <sheetFormatPr baseColWidth="10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6EFE-AF3D-4696-A060-8321D4DECCD0}">
  <dimension ref="A1:G3"/>
  <sheetViews>
    <sheetView tabSelected="1" workbookViewId="0">
      <selection activeCell="A2" sqref="A2"/>
    </sheetView>
  </sheetViews>
  <sheetFormatPr baseColWidth="10" defaultRowHeight="14.5" x14ac:dyDescent="0.35"/>
  <sheetData>
    <row r="1" spans="1:7" x14ac:dyDescent="0.35">
      <c r="A1" t="s">
        <v>29</v>
      </c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</row>
    <row r="2" spans="1:7" x14ac:dyDescent="0.35">
      <c r="A2" t="s">
        <v>27</v>
      </c>
      <c r="B2" s="14">
        <v>0.35681908538409074</v>
      </c>
      <c r="C2" s="14">
        <v>0.36080782963215152</v>
      </c>
      <c r="D2" s="14">
        <v>0.37545552543769617</v>
      </c>
      <c r="E2" s="14">
        <v>0.64160975515360841</v>
      </c>
      <c r="F2" s="14">
        <v>0.35299284170348838</v>
      </c>
      <c r="G2" s="14">
        <v>0.28393444681620594</v>
      </c>
    </row>
    <row r="3" spans="1:7" x14ac:dyDescent="0.35">
      <c r="A3" t="s">
        <v>28</v>
      </c>
      <c r="B3" s="14">
        <v>0.30980146444537093</v>
      </c>
      <c r="C3" s="14">
        <v>0.2958803210807357</v>
      </c>
      <c r="D3" s="14">
        <v>0.26588866364824737</v>
      </c>
      <c r="E3" s="14">
        <v>0.7826611144691652</v>
      </c>
      <c r="F3" s="14">
        <v>0.3744884730820191</v>
      </c>
      <c r="G3" s="14">
        <v>0.34535539800724541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93CB-1D41-4E36-BF3D-5F3550A04CF7}">
  <dimension ref="A1:C25"/>
  <sheetViews>
    <sheetView workbookViewId="0">
      <selection activeCell="D21" sqref="D21"/>
    </sheetView>
  </sheetViews>
  <sheetFormatPr baseColWidth="10" defaultRowHeight="14.5" x14ac:dyDescent="0.35"/>
  <cols>
    <col min="1" max="1" width="12.81640625" customWidth="1"/>
    <col min="2" max="2" width="5.7265625" bestFit="1" customWidth="1"/>
    <col min="3" max="3" width="14.7265625" customWidth="1"/>
  </cols>
  <sheetData>
    <row r="1" spans="1:3" x14ac:dyDescent="0.35">
      <c r="A1" s="13" t="s">
        <v>21</v>
      </c>
      <c r="B1" s="13" t="s">
        <v>0</v>
      </c>
      <c r="C1" s="13" t="s">
        <v>24</v>
      </c>
    </row>
    <row r="2" spans="1:3" x14ac:dyDescent="0.35">
      <c r="A2" t="s">
        <v>22</v>
      </c>
      <c r="B2">
        <v>2000</v>
      </c>
      <c r="C2" s="2">
        <v>0.88</v>
      </c>
    </row>
    <row r="3" spans="1:3" x14ac:dyDescent="0.35">
      <c r="A3" t="s">
        <v>22</v>
      </c>
      <c r="B3">
        <v>2001</v>
      </c>
      <c r="C3" s="2">
        <v>0.9</v>
      </c>
    </row>
    <row r="4" spans="1:3" x14ac:dyDescent="0.35">
      <c r="A4" t="s">
        <v>22</v>
      </c>
      <c r="B4">
        <v>2002</v>
      </c>
      <c r="C4" s="2">
        <v>0.91500000000000004</v>
      </c>
    </row>
    <row r="5" spans="1:3" x14ac:dyDescent="0.35">
      <c r="A5" t="s">
        <v>22</v>
      </c>
      <c r="B5">
        <v>2003</v>
      </c>
      <c r="C5" s="2">
        <v>0.93</v>
      </c>
    </row>
    <row r="6" spans="1:3" x14ac:dyDescent="0.35">
      <c r="A6" t="s">
        <v>22</v>
      </c>
      <c r="B6">
        <v>2004</v>
      </c>
      <c r="C6" s="2">
        <v>0.91500000000000004</v>
      </c>
    </row>
    <row r="7" spans="1:3" x14ac:dyDescent="0.35">
      <c r="A7" t="s">
        <v>22</v>
      </c>
      <c r="B7">
        <v>2005</v>
      </c>
      <c r="C7" s="2">
        <v>0.91</v>
      </c>
    </row>
    <row r="8" spans="1:3" x14ac:dyDescent="0.35">
      <c r="A8" t="s">
        <v>22</v>
      </c>
      <c r="B8">
        <v>2006</v>
      </c>
      <c r="C8" s="2">
        <v>0.91</v>
      </c>
    </row>
    <row r="9" spans="1:3" x14ac:dyDescent="0.35">
      <c r="A9" t="s">
        <v>22</v>
      </c>
      <c r="B9">
        <v>2007</v>
      </c>
      <c r="C9" s="2">
        <v>0.92</v>
      </c>
    </row>
    <row r="10" spans="1:3" x14ac:dyDescent="0.35">
      <c r="A10" t="s">
        <v>22</v>
      </c>
      <c r="B10">
        <v>2008</v>
      </c>
      <c r="C10" s="2">
        <v>0.93</v>
      </c>
    </row>
    <row r="11" spans="1:3" x14ac:dyDescent="0.35">
      <c r="A11" t="s">
        <v>22</v>
      </c>
      <c r="B11">
        <v>2009</v>
      </c>
      <c r="C11" s="2">
        <v>0.94499999999999995</v>
      </c>
    </row>
    <row r="12" spans="1:3" x14ac:dyDescent="0.35">
      <c r="A12" t="s">
        <v>22</v>
      </c>
      <c r="B12">
        <v>2010</v>
      </c>
      <c r="C12" s="2">
        <v>0.95499999999999996</v>
      </c>
    </row>
    <row r="13" spans="1:3" x14ac:dyDescent="0.35">
      <c r="A13" t="s">
        <v>22</v>
      </c>
      <c r="B13">
        <v>2011</v>
      </c>
      <c r="C13" s="2">
        <v>0.96499999999999997</v>
      </c>
    </row>
    <row r="14" spans="1:3" x14ac:dyDescent="0.35">
      <c r="A14" t="s">
        <v>22</v>
      </c>
      <c r="B14">
        <v>2012</v>
      </c>
      <c r="C14" s="2">
        <v>0.97499999999999998</v>
      </c>
    </row>
    <row r="15" spans="1:3" x14ac:dyDescent="0.35">
      <c r="A15" t="s">
        <v>22</v>
      </c>
      <c r="B15">
        <v>2013</v>
      </c>
      <c r="C15" s="2">
        <v>0.98499999999999999</v>
      </c>
    </row>
    <row r="16" spans="1:3" x14ac:dyDescent="0.35">
      <c r="A16" t="s">
        <v>22</v>
      </c>
      <c r="B16">
        <v>2014</v>
      </c>
      <c r="C16" s="2">
        <v>0.995</v>
      </c>
    </row>
    <row r="17" spans="1:3" x14ac:dyDescent="0.35">
      <c r="A17" t="s">
        <v>25</v>
      </c>
      <c r="B17">
        <v>2016</v>
      </c>
      <c r="C17" s="2">
        <v>0.83</v>
      </c>
    </row>
    <row r="18" spans="1:3" x14ac:dyDescent="0.35">
      <c r="A18" t="s">
        <v>25</v>
      </c>
      <c r="B18">
        <v>2017</v>
      </c>
      <c r="C18" s="2">
        <v>0.80900000000000005</v>
      </c>
    </row>
    <row r="19" spans="1:3" x14ac:dyDescent="0.35">
      <c r="A19" t="s">
        <v>25</v>
      </c>
      <c r="B19">
        <v>2018</v>
      </c>
      <c r="C19" s="2">
        <v>0.8640000000000001</v>
      </c>
    </row>
    <row r="20" spans="1:3" x14ac:dyDescent="0.35">
      <c r="A20" t="s">
        <v>25</v>
      </c>
      <c r="B20">
        <v>2019</v>
      </c>
      <c r="C20" s="2">
        <v>0.92799999999999994</v>
      </c>
    </row>
    <row r="21" spans="1:3" x14ac:dyDescent="0.35">
      <c r="A21" t="s">
        <v>25</v>
      </c>
      <c r="B21">
        <v>2020</v>
      </c>
      <c r="C21" s="2">
        <v>0.85599999999999998</v>
      </c>
    </row>
    <row r="22" spans="1:3" x14ac:dyDescent="0.35">
      <c r="A22" t="s">
        <v>26</v>
      </c>
      <c r="B22" s="4">
        <v>2010</v>
      </c>
      <c r="C22" s="5">
        <v>0.73399999999999999</v>
      </c>
    </row>
    <row r="23" spans="1:3" x14ac:dyDescent="0.35">
      <c r="A23" t="s">
        <v>26</v>
      </c>
      <c r="B23" s="4">
        <v>2015</v>
      </c>
      <c r="C23" s="5">
        <v>0.73399999999999999</v>
      </c>
    </row>
    <row r="24" spans="1:3" x14ac:dyDescent="0.35">
      <c r="A24" t="s">
        <v>26</v>
      </c>
      <c r="B24" s="4">
        <v>2019</v>
      </c>
      <c r="C24" s="5">
        <v>0.63900000000000001</v>
      </c>
    </row>
    <row r="25" spans="1:3" x14ac:dyDescent="0.35">
      <c r="A25" t="s">
        <v>26</v>
      </c>
      <c r="B25" s="4">
        <v>2020</v>
      </c>
      <c r="C25" s="5">
        <v>0.63900000000000001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France</vt:lpstr>
      <vt:lpstr>South Korean</vt:lpstr>
      <vt:lpstr>Japon</vt:lpstr>
      <vt:lpstr>UK</vt:lpstr>
      <vt:lpstr>Poland</vt:lpstr>
      <vt:lpstr>CI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Sare (MASG)</cp:lastModifiedBy>
  <dcterms:created xsi:type="dcterms:W3CDTF">2025-09-20T13:12:12Z</dcterms:created>
  <dcterms:modified xsi:type="dcterms:W3CDTF">2025-10-03T00:07:36Z</dcterms:modified>
</cp:coreProperties>
</file>